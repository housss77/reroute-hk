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ylp13\桌面\datahack\"/>
    </mc:Choice>
  </mc:AlternateContent>
  <xr:revisionPtr revIDLastSave="0" documentId="13_ncr:1_{4FCE593E-711F-4CC7-9755-D0972ED73B3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J15" i="1"/>
  <c r="J13" i="1"/>
  <c r="H14" i="1"/>
  <c r="H13" i="1"/>
  <c r="G14" i="1"/>
  <c r="G13" i="1"/>
  <c r="J12" i="1"/>
  <c r="H12" i="1"/>
  <c r="G12" i="1"/>
  <c r="J11" i="1"/>
  <c r="H11" i="1"/>
  <c r="G11" i="1"/>
  <c r="G10" i="1"/>
  <c r="H10" i="1"/>
  <c r="J10" i="1" s="1"/>
  <c r="E19" i="1"/>
  <c r="B19" i="1"/>
  <c r="B17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B7" i="1"/>
  <c r="E6" i="1"/>
  <c r="E5" i="1"/>
  <c r="B5" i="1"/>
  <c r="E2" i="1"/>
  <c r="B24" i="1" s="1"/>
  <c r="J14" i="1" l="1"/>
  <c r="J17" i="1" s="1"/>
  <c r="B20" i="1" l="1"/>
  <c r="B21" i="1"/>
  <c r="B25" i="1" s="1"/>
  <c r="B26" i="1" s="1"/>
</calcChain>
</file>

<file path=xl/sharedStrings.xml><?xml version="1.0" encoding="utf-8"?>
<sst xmlns="http://schemas.openxmlformats.org/spreadsheetml/2006/main" count="60" uniqueCount="47">
  <si>
    <t>Fixed Station</t>
  </si>
  <si>
    <t>per unit</t>
  </si>
  <si>
    <t>units</t>
  </si>
  <si>
    <t>solution</t>
  </si>
  <si>
    <t>Fixed Cost(equipment purchased)</t>
  </si>
  <si>
    <t>----</t>
  </si>
  <si>
    <t>number of cars</t>
  </si>
  <si>
    <t>Yearly Cost</t>
  </si>
  <si>
    <t>Labor Cost</t>
  </si>
  <si>
    <t>working hour per year</t>
  </si>
  <si>
    <t>miles per year</t>
  </si>
  <si>
    <t>total cost</t>
  </si>
  <si>
    <t>=</t>
  </si>
  <si>
    <t>in 2024</t>
  </si>
  <si>
    <t>deduct</t>
  </si>
  <si>
    <t>category</t>
  </si>
  <si>
    <t xml:space="preserve">amount per day </t>
  </si>
  <si>
    <t>incentive lacking（22.5%）</t>
  </si>
  <si>
    <t>trust deficit（14%）</t>
  </si>
  <si>
    <t>attitude（16%）</t>
  </si>
  <si>
    <t>remained amount</t>
  </si>
  <si>
    <t>price per ton</t>
  </si>
  <si>
    <t>total value</t>
  </si>
  <si>
    <t>paper</t>
  </si>
  <si>
    <t>plastic</t>
  </si>
  <si>
    <t>glass</t>
  </si>
  <si>
    <t>metal</t>
  </si>
  <si>
    <t>waste recyclable</t>
  </si>
  <si>
    <t>---</t>
  </si>
  <si>
    <t>yearly waste recyclable</t>
  </si>
  <si>
    <t>real recyclable</t>
  </si>
  <si>
    <t>total recyclable</t>
  </si>
  <si>
    <t>waste recyclable ratio</t>
  </si>
  <si>
    <t>collection efficiency(ton per HK dollar)</t>
  </si>
  <si>
    <t>ROI（Return of Investment）</t>
  </si>
  <si>
    <t>Free Cash Flow</t>
  </si>
  <si>
    <t>Payoff Period of the Project</t>
  </si>
  <si>
    <t>Year</t>
  </si>
  <si>
    <t>Cash Flow</t>
  </si>
  <si>
    <t>Discounted Rate</t>
  </si>
  <si>
    <t>Discounted Cash Flow</t>
  </si>
  <si>
    <t>Cumulative Discounted Cash Flow</t>
  </si>
  <si>
    <t>operational costs</t>
    <phoneticPr fontId="3" type="noConversion"/>
  </si>
  <si>
    <t>Advertising cost</t>
    <phoneticPr fontId="3" type="noConversion"/>
  </si>
  <si>
    <t>deduct</t>
    <phoneticPr fontId="3" type="noConversion"/>
  </si>
  <si>
    <t>depreciation</t>
    <phoneticPr fontId="3" type="noConversion"/>
  </si>
  <si>
    <t xml:space="preserve">final recycled amount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</si>
</sst>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\¥* #,##0.00_);_(\¥* \(#,##0.00\);_(\¥* &quot;-&quot;??_);_(@_)"/>
    <numFmt numFmtId="177" formatCode="_([$HK$-C04]* #,##0.00_);_([$HK$-C04]* \(#,##0.00\);_([$HK$-C04]* &quot;-&quot;??_);_(@_)"/>
    <numFmt numFmtId="178" formatCode="_-[$HK$-3C09]* #,##0.00_-;\-[$HK$-3C09]* #,##0.00_-;_-[$HK$-3C09]* &quot;-&quot;??_-;_-@_-"/>
  </numFmts>
  <fonts count="4" x14ac:knownFonts="1">
    <font>
      <sz val="12"/>
      <color theme="1"/>
      <name val="等线"/>
      <charset val="134"/>
      <scheme val="minor"/>
    </font>
    <font>
      <sz val="12"/>
      <color theme="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7" fontId="0" fillId="2" borderId="0" xfId="0" applyNumberFormat="1" applyFill="1">
      <alignment vertical="center"/>
    </xf>
    <xf numFmtId="3" fontId="0" fillId="2" borderId="0" xfId="0" applyNumberFormat="1" applyFill="1">
      <alignment vertical="center"/>
    </xf>
    <xf numFmtId="178" fontId="0" fillId="2" borderId="0" xfId="0" applyNumberFormat="1" applyFill="1">
      <alignment vertical="center"/>
    </xf>
    <xf numFmtId="177" fontId="0" fillId="2" borderId="0" xfId="1" applyNumberFormat="1" applyFont="1" applyFill="1">
      <alignment vertical="center"/>
    </xf>
    <xf numFmtId="178" fontId="0" fillId="2" borderId="0" xfId="1" applyNumberFormat="1" applyFont="1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5" borderId="0" xfId="0" applyFill="1" applyAlignment="1">
      <alignment horizontal="center" vertical="center"/>
    </xf>
    <xf numFmtId="3" fontId="0" fillId="5" borderId="0" xfId="0" applyNumberFormat="1" applyFill="1">
      <alignment vertical="center"/>
    </xf>
    <xf numFmtId="0" fontId="1" fillId="6" borderId="0" xfId="0" applyFont="1" applyFill="1">
      <alignment vertical="center"/>
    </xf>
    <xf numFmtId="10" fontId="1" fillId="6" borderId="0" xfId="0" applyNumberFormat="1" applyFont="1" applyFill="1">
      <alignment vertical="center"/>
    </xf>
    <xf numFmtId="17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2" borderId="0" xfId="0" quotePrefix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5" borderId="0" xfId="0" applyFont="1" applyFill="1">
      <alignment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6" zoomScale="135" zoomScaleNormal="135" workbookViewId="0">
      <selection activeCell="A30" sqref="A30"/>
    </sheetView>
  </sheetViews>
  <sheetFormatPr defaultColWidth="11" defaultRowHeight="15.5" x14ac:dyDescent="0.35"/>
  <cols>
    <col min="1" max="1" width="32.69140625" customWidth="1"/>
    <col min="2" max="2" width="22.4609375" customWidth="1"/>
    <col min="3" max="3" width="21.4609375" customWidth="1"/>
    <col min="4" max="4" width="29.15234375" customWidth="1"/>
    <col min="5" max="5" width="13.69140625" customWidth="1"/>
    <col min="6" max="6" width="18.69140625" customWidth="1"/>
    <col min="7" max="7" width="14.69140625" customWidth="1"/>
    <col min="8" max="8" width="22.4609375" customWidth="1"/>
    <col min="9" max="9" width="14.69140625" bestFit="1" customWidth="1"/>
    <col min="10" max="10" width="20.84375" bestFit="1" customWidth="1"/>
  </cols>
  <sheetData>
    <row r="1" spans="1:10" x14ac:dyDescent="0.35">
      <c r="A1" s="1"/>
      <c r="B1" s="2" t="s">
        <v>0</v>
      </c>
      <c r="C1" s="1" t="s">
        <v>1</v>
      </c>
      <c r="D1" s="1" t="s">
        <v>2</v>
      </c>
      <c r="E1" s="3" t="s">
        <v>3</v>
      </c>
      <c r="F1" s="1" t="s">
        <v>1</v>
      </c>
      <c r="G1" s="1" t="s">
        <v>2</v>
      </c>
    </row>
    <row r="2" spans="1:10" x14ac:dyDescent="0.35">
      <c r="A2" s="1" t="s">
        <v>4</v>
      </c>
      <c r="B2" s="19" t="s">
        <v>5</v>
      </c>
      <c r="C2" s="1"/>
      <c r="D2" s="1"/>
      <c r="E2" s="4">
        <f>F2*G2</f>
        <v>0</v>
      </c>
      <c r="F2" s="5">
        <v>600000</v>
      </c>
      <c r="G2" s="1"/>
      <c r="H2" t="s">
        <v>6</v>
      </c>
    </row>
    <row r="3" spans="1:10" x14ac:dyDescent="0.35">
      <c r="A3" s="21" t="s">
        <v>43</v>
      </c>
      <c r="B3" s="1"/>
      <c r="C3" s="1"/>
      <c r="D3" s="1"/>
      <c r="E3" s="6"/>
      <c r="F3" s="1"/>
      <c r="G3" s="1"/>
    </row>
    <row r="4" spans="1:10" x14ac:dyDescent="0.35">
      <c r="A4" s="1" t="s">
        <v>7</v>
      </c>
      <c r="B4" s="1"/>
      <c r="C4" s="1"/>
      <c r="D4" s="1"/>
      <c r="E4" s="4"/>
      <c r="F4" s="1"/>
      <c r="G4" s="1"/>
    </row>
    <row r="5" spans="1:10" x14ac:dyDescent="0.35">
      <c r="A5" s="1" t="s">
        <v>8</v>
      </c>
      <c r="B5" s="7">
        <f>C5*D5</f>
        <v>22160000</v>
      </c>
      <c r="C5" s="6">
        <v>16000</v>
      </c>
      <c r="D5" s="1">
        <v>1385</v>
      </c>
      <c r="E5" s="4">
        <f>F5*G5</f>
        <v>0</v>
      </c>
      <c r="F5" s="1">
        <v>17000</v>
      </c>
      <c r="G5" s="1"/>
      <c r="H5" t="s">
        <v>9</v>
      </c>
    </row>
    <row r="6" spans="1:10" x14ac:dyDescent="0.35">
      <c r="A6" s="21" t="s">
        <v>42</v>
      </c>
      <c r="B6" s="7"/>
      <c r="C6" s="1"/>
      <c r="D6" s="1"/>
      <c r="E6" s="4">
        <f>F6*G6</f>
        <v>0</v>
      </c>
      <c r="F6" s="1">
        <v>3.33</v>
      </c>
      <c r="G6" s="1"/>
      <c r="H6" t="s">
        <v>10</v>
      </c>
    </row>
    <row r="7" spans="1:10" x14ac:dyDescent="0.35">
      <c r="A7" s="1" t="s">
        <v>11</v>
      </c>
      <c r="B7" s="8">
        <f>SUM(B4:B6)</f>
        <v>22160000</v>
      </c>
      <c r="C7" s="1"/>
      <c r="D7" s="1"/>
      <c r="E7" s="4" t="s">
        <v>12</v>
      </c>
      <c r="F7" s="1"/>
      <c r="G7" s="1"/>
    </row>
    <row r="8" spans="1:10" x14ac:dyDescent="0.35">
      <c r="A8" s="9" t="s">
        <v>13</v>
      </c>
      <c r="B8" s="9"/>
      <c r="C8" s="9" t="s">
        <v>14</v>
      </c>
      <c r="D8" s="9"/>
      <c r="E8" s="9"/>
      <c r="F8" s="9"/>
      <c r="G8" s="22" t="s">
        <v>44</v>
      </c>
      <c r="H8" s="9"/>
      <c r="I8" s="9"/>
      <c r="J8" s="9"/>
    </row>
    <row r="9" spans="1:10" x14ac:dyDescent="0.35">
      <c r="A9" s="9" t="s">
        <v>15</v>
      </c>
      <c r="B9" s="9" t="s">
        <v>16</v>
      </c>
      <c r="C9" s="9" t="s">
        <v>17</v>
      </c>
      <c r="D9" s="9" t="s">
        <v>18</v>
      </c>
      <c r="E9" s="9" t="s">
        <v>19</v>
      </c>
      <c r="F9" s="9" t="s">
        <v>20</v>
      </c>
      <c r="G9" s="22" t="s">
        <v>45</v>
      </c>
      <c r="H9" s="22" t="s">
        <v>46</v>
      </c>
      <c r="I9" s="9" t="s">
        <v>21</v>
      </c>
      <c r="J9" s="9" t="s">
        <v>22</v>
      </c>
    </row>
    <row r="10" spans="1:10" x14ac:dyDescent="0.35">
      <c r="A10" s="9" t="s">
        <v>23</v>
      </c>
      <c r="B10" s="9">
        <v>396</v>
      </c>
      <c r="C10" s="9">
        <f>22.5%*B10</f>
        <v>89.1</v>
      </c>
      <c r="D10" s="9">
        <f>0.14*B10</f>
        <v>55.44</v>
      </c>
      <c r="E10" s="9">
        <f>0.16*B10</f>
        <v>63.36</v>
      </c>
      <c r="F10" s="9">
        <f>B10-C10-D10-E10</f>
        <v>188.1</v>
      </c>
      <c r="G10" s="9">
        <f>0.175*F10</f>
        <v>32.917499999999997</v>
      </c>
      <c r="H10" s="9">
        <f>F10-G10</f>
        <v>155.1825</v>
      </c>
      <c r="I10" s="10">
        <v>2200</v>
      </c>
      <c r="J10" s="10">
        <f>H10*F10</f>
        <v>29189.828249999999</v>
      </c>
    </row>
    <row r="11" spans="1:10" x14ac:dyDescent="0.35">
      <c r="A11" s="9" t="s">
        <v>24</v>
      </c>
      <c r="B11" s="9">
        <v>839</v>
      </c>
      <c r="C11" s="9">
        <f t="shared" ref="C11:C15" si="0">22.5%*B11</f>
        <v>188.77500000000001</v>
      </c>
      <c r="D11" s="9">
        <f t="shared" ref="D11:D15" si="1">0.14*B11</f>
        <v>117.46</v>
      </c>
      <c r="E11" s="9">
        <f t="shared" ref="E11:E15" si="2">0.16*B11</f>
        <v>134.24</v>
      </c>
      <c r="F11" s="9">
        <f t="shared" ref="F11:F14" si="3">B11-C11-D11-E11</f>
        <v>398.52499999999998</v>
      </c>
      <c r="G11" s="9">
        <f>0.2*F11</f>
        <v>79.704999999999998</v>
      </c>
      <c r="H11" s="9">
        <f>F11-G11</f>
        <v>318.82</v>
      </c>
      <c r="I11" s="10">
        <v>2000</v>
      </c>
      <c r="J11" s="10">
        <f>H11*I11</f>
        <v>637640</v>
      </c>
    </row>
    <row r="12" spans="1:10" x14ac:dyDescent="0.35">
      <c r="A12" s="9" t="s">
        <v>25</v>
      </c>
      <c r="B12" s="9">
        <v>118</v>
      </c>
      <c r="C12" s="9">
        <f t="shared" si="0"/>
        <v>26.55</v>
      </c>
      <c r="D12" s="9">
        <f t="shared" si="1"/>
        <v>16.52</v>
      </c>
      <c r="E12" s="9">
        <f t="shared" si="2"/>
        <v>18.88</v>
      </c>
      <c r="F12" s="9">
        <f t="shared" si="3"/>
        <v>56.05</v>
      </c>
      <c r="G12" s="9">
        <f>0.05*F12</f>
        <v>2.8025000000000002</v>
      </c>
      <c r="H12" s="9">
        <f>F12-G12</f>
        <v>53.247499999999995</v>
      </c>
      <c r="I12" s="10">
        <v>800</v>
      </c>
      <c r="J12" s="10">
        <f>H12*I12</f>
        <v>42597.999999999993</v>
      </c>
    </row>
    <row r="13" spans="1:10" x14ac:dyDescent="0.35">
      <c r="A13" s="9" t="s">
        <v>26</v>
      </c>
      <c r="B13" s="9">
        <v>149</v>
      </c>
      <c r="C13" s="9">
        <f t="shared" si="0"/>
        <v>33.524999999999999</v>
      </c>
      <c r="D13" s="9">
        <f t="shared" si="1"/>
        <v>20.86</v>
      </c>
      <c r="E13" s="9">
        <f t="shared" si="2"/>
        <v>23.84</v>
      </c>
      <c r="F13" s="9">
        <f t="shared" si="3"/>
        <v>70.775000000000006</v>
      </c>
      <c r="G13" s="9">
        <f>0.05*F13</f>
        <v>3.5387500000000003</v>
      </c>
      <c r="H13" s="9">
        <f>F13-G13</f>
        <v>67.236250000000013</v>
      </c>
      <c r="I13" s="10">
        <v>2800</v>
      </c>
      <c r="J13" s="10">
        <f>B13*I13</f>
        <v>417200</v>
      </c>
    </row>
    <row r="14" spans="1:10" x14ac:dyDescent="0.35">
      <c r="A14" s="9" t="s">
        <v>27</v>
      </c>
      <c r="B14" s="9">
        <f>SUM(B10:B13)</f>
        <v>1502</v>
      </c>
      <c r="C14" s="9">
        <f t="shared" si="0"/>
        <v>337.95</v>
      </c>
      <c r="D14" s="9">
        <f t="shared" si="1"/>
        <v>210.28</v>
      </c>
      <c r="E14" s="9">
        <f t="shared" si="2"/>
        <v>240.32</v>
      </c>
      <c r="F14" s="9">
        <f t="shared" si="3"/>
        <v>713.45</v>
      </c>
      <c r="G14" s="9">
        <f>SUM(G10:G13)</f>
        <v>118.96375</v>
      </c>
      <c r="H14" s="9">
        <f>F14-G14</f>
        <v>594.48625000000004</v>
      </c>
      <c r="I14" s="20" t="s">
        <v>28</v>
      </c>
      <c r="J14" s="10">
        <f>SUM(J10:J13)</f>
        <v>1126627.82825</v>
      </c>
    </row>
    <row r="15" spans="1:10" x14ac:dyDescent="0.35">
      <c r="A15" s="9" t="s">
        <v>29</v>
      </c>
      <c r="B15" s="9">
        <f>B14*365</f>
        <v>548230</v>
      </c>
      <c r="C15" s="9">
        <f t="shared" si="0"/>
        <v>123351.75</v>
      </c>
      <c r="D15" s="9">
        <f t="shared" si="1"/>
        <v>76752.2</v>
      </c>
      <c r="E15" s="9">
        <f t="shared" si="2"/>
        <v>87716.800000000003</v>
      </c>
      <c r="F15" s="11">
        <f>F14*365</f>
        <v>260409.25</v>
      </c>
      <c r="G15" s="9"/>
      <c r="H15" s="9"/>
      <c r="I15" s="20" t="s">
        <v>28</v>
      </c>
      <c r="J15" s="10">
        <f>J14*365</f>
        <v>411219157.31125003</v>
      </c>
    </row>
    <row r="16" spans="1:10" x14ac:dyDescent="0.35">
      <c r="A16" s="9" t="s">
        <v>30</v>
      </c>
      <c r="B16" s="12">
        <f>2020000*0.22</f>
        <v>444400</v>
      </c>
      <c r="C16" s="20" t="s">
        <v>28</v>
      </c>
      <c r="D16" s="20" t="s">
        <v>28</v>
      </c>
      <c r="E16" s="20" t="s">
        <v>28</v>
      </c>
      <c r="F16" s="20" t="s">
        <v>28</v>
      </c>
      <c r="G16" s="9"/>
      <c r="H16" s="9"/>
      <c r="I16" s="20" t="s">
        <v>28</v>
      </c>
      <c r="J16" s="10">
        <v>4601560000</v>
      </c>
    </row>
    <row r="17" spans="1:10" x14ac:dyDescent="0.35">
      <c r="A17" s="9" t="s">
        <v>31</v>
      </c>
      <c r="B17" s="12">
        <f>B15+B16</f>
        <v>992630</v>
      </c>
      <c r="C17" s="20" t="s">
        <v>28</v>
      </c>
      <c r="D17" s="20" t="s">
        <v>28</v>
      </c>
      <c r="E17" s="20" t="s">
        <v>28</v>
      </c>
      <c r="F17" s="20" t="s">
        <v>28</v>
      </c>
      <c r="G17" s="9"/>
      <c r="H17" s="9"/>
      <c r="I17" s="20" t="s">
        <v>28</v>
      </c>
      <c r="J17" s="10">
        <f>SUM(J15:J16)</f>
        <v>5012779157.3112497</v>
      </c>
    </row>
    <row r="18" spans="1:10" x14ac:dyDescent="0.35">
      <c r="A18" s="13" t="s">
        <v>32</v>
      </c>
      <c r="B18" s="14">
        <f>F15/B17</f>
        <v>0.26234271581556068</v>
      </c>
    </row>
    <row r="19" spans="1:10" x14ac:dyDescent="0.35">
      <c r="A19" t="s">
        <v>33</v>
      </c>
      <c r="B19" s="15">
        <f>B16/B7</f>
        <v>2.00541516245487E-2</v>
      </c>
      <c r="E19" s="3" t="e">
        <f>B17/E7</f>
        <v>#VALUE!</v>
      </c>
    </row>
    <row r="20" spans="1:10" x14ac:dyDescent="0.35">
      <c r="A20" s="9" t="s">
        <v>34</v>
      </c>
      <c r="B20" t="e">
        <f>(J15-E7)/E7</f>
        <v>#VALUE!</v>
      </c>
    </row>
    <row r="21" spans="1:10" x14ac:dyDescent="0.35">
      <c r="A21" t="s">
        <v>35</v>
      </c>
      <c r="B21" s="16">
        <f>J15-E5-E6</f>
        <v>411219157.31125003</v>
      </c>
    </row>
    <row r="22" spans="1:10" x14ac:dyDescent="0.35">
      <c r="A22" t="s">
        <v>36</v>
      </c>
    </row>
    <row r="23" spans="1:10" x14ac:dyDescent="0.35">
      <c r="A23" t="s">
        <v>37</v>
      </c>
      <c r="B23" s="17" t="s">
        <v>38</v>
      </c>
      <c r="C23" t="s">
        <v>39</v>
      </c>
      <c r="D23" t="s">
        <v>40</v>
      </c>
      <c r="E23" t="s">
        <v>41</v>
      </c>
    </row>
    <row r="24" spans="1:10" x14ac:dyDescent="0.35">
      <c r="A24">
        <v>0</v>
      </c>
      <c r="B24" s="16">
        <f>-E2</f>
        <v>0</v>
      </c>
      <c r="C24" s="18">
        <v>7.0000000000000007E-2</v>
      </c>
    </row>
    <row r="25" spans="1:10" x14ac:dyDescent="0.35">
      <c r="A25">
        <v>1</v>
      </c>
      <c r="B25" s="16">
        <f>B21</f>
        <v>411219157.31125003</v>
      </c>
    </row>
    <row r="26" spans="1:10" x14ac:dyDescent="0.35">
      <c r="A26">
        <v>2</v>
      </c>
      <c r="B26" s="16">
        <f>B24/B25</f>
        <v>0</v>
      </c>
    </row>
    <row r="27" spans="1:10" x14ac:dyDescent="0.35">
      <c r="B27" s="16"/>
    </row>
    <row r="28" spans="1:10" x14ac:dyDescent="0.35">
      <c r="B28" s="16"/>
    </row>
    <row r="29" spans="1:10" x14ac:dyDescent="0.35">
      <c r="B29" s="16"/>
    </row>
    <row r="30" spans="1:10" x14ac:dyDescent="0.35">
      <c r="B30" s="16"/>
    </row>
    <row r="31" spans="1:10" x14ac:dyDescent="0.35">
      <c r="B31" s="1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" sqref="A1:D4"/>
    </sheetView>
  </sheetViews>
  <sheetFormatPr defaultColWidth="11" defaultRowHeight="15.5" x14ac:dyDescent="0.3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Minghe Huang (SME,123020116)</dc:creator>
  <cp:lastModifiedBy>Laipeng Yan (SME,123090711)</cp:lastModifiedBy>
  <dcterms:created xsi:type="dcterms:W3CDTF">2026-03-14T15:21:00Z</dcterms:created>
  <dcterms:modified xsi:type="dcterms:W3CDTF">2026-03-15T10:51:28Z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1F6E116C2AED67358D39B669D31130BE_42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